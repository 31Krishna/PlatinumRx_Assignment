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<sst xmlns="http://schemas.openxmlformats.org/spreadsheetml/2006/main" count="26" uniqueCount="21">
  <si>
    <t>ticket_id</t>
  </si>
  <si>
    <t>created_at</t>
  </si>
  <si>
    <t>closed_at</t>
  </si>
  <si>
    <t>outlet_id</t>
  </si>
  <si>
    <t>cms_id</t>
  </si>
  <si>
    <t>same_day</t>
  </si>
  <si>
    <t>same_hour</t>
  </si>
  <si>
    <t>same_day per outlet</t>
  </si>
  <si>
    <t>same_hour per outlet</t>
  </si>
  <si>
    <t>t1</t>
  </si>
  <si>
    <t>o1</t>
  </si>
  <si>
    <t>c1</t>
  </si>
  <si>
    <t>t2</t>
  </si>
  <si>
    <t>c2</t>
  </si>
  <si>
    <t>t3</t>
  </si>
  <si>
    <t>o2</t>
  </si>
  <si>
    <t>c3</t>
  </si>
  <si>
    <t>-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</si>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</sst>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165" xfId="0" applyAlignment="1" applyFont="1" applyNumberFormat="1">
      <alignment readingOrder="0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75"/>
    <col customWidth="1" min="8" max="8" width="16.13"/>
    <col customWidth="1" min="9" max="9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44427.416666666664</v>
      </c>
      <c r="C2" s="4">
        <v>44427.5</v>
      </c>
      <c r="D2" s="3" t="s">
        <v>10</v>
      </c>
      <c r="E2" s="3" t="s">
        <v>11</v>
      </c>
      <c r="F2" s="5" t="b">
        <f t="shared" ref="F2:F4" si="1">INT(B2)=INT(C2)</f>
        <v>1</v>
      </c>
      <c r="G2" s="5" t="b">
        <f t="shared" ref="G2:G4" si="2">AND(INT(B2)=INT(C2), HOUR(B2)=HOUR(C2))</f>
        <v>0</v>
      </c>
      <c r="H2" s="5">
        <f t="shared" ref="H2:H4" si="3">COUNTIFS(D:D, "o1", F:F, TRUE)</f>
        <v>1</v>
      </c>
      <c r="I2" s="5">
        <f t="shared" ref="I2:I4" si="4">COUNTIFS(D:D, D2, G:G, TRUE)</f>
        <v>0</v>
      </c>
    </row>
    <row r="3">
      <c r="A3" s="3" t="s">
        <v>12</v>
      </c>
      <c r="B3" s="4">
        <v>44427.458333333336</v>
      </c>
      <c r="C3" s="4">
        <v>44428.416666666664</v>
      </c>
      <c r="D3" s="3" t="s">
        <v>10</v>
      </c>
      <c r="E3" s="3" t="s">
        <v>13</v>
      </c>
      <c r="F3" s="5" t="b">
        <f t="shared" si="1"/>
        <v>0</v>
      </c>
      <c r="G3" s="5" t="b">
        <f t="shared" si="2"/>
        <v>0</v>
      </c>
      <c r="H3" s="5">
        <f t="shared" si="3"/>
        <v>1</v>
      </c>
      <c r="I3" s="5">
        <f t="shared" si="4"/>
        <v>0</v>
      </c>
    </row>
    <row r="4">
      <c r="A4" s="3" t="s">
        <v>14</v>
      </c>
      <c r="B4" s="4">
        <v>44428.375</v>
      </c>
      <c r="C4" s="4">
        <v>44428.395833333336</v>
      </c>
      <c r="D4" s="3" t="s">
        <v>15</v>
      </c>
      <c r="E4" s="3" t="s">
        <v>16</v>
      </c>
      <c r="F4" s="5" t="b">
        <f t="shared" si="1"/>
        <v>1</v>
      </c>
      <c r="G4" s="5" t="b">
        <f t="shared" si="2"/>
        <v>1</v>
      </c>
      <c r="H4" s="5">
        <f t="shared" si="3"/>
        <v>1</v>
      </c>
      <c r="I4" s="5">
        <f t="shared" si="4"/>
        <v>1</v>
      </c>
    </row>
    <row r="7">
      <c r="I7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13"/>
    <col customWidth="1" min="4" max="4" width="14.63"/>
    <col customWidth="1" min="5" max="5" width="6.75"/>
    <col customWidth="1" min="6" max="6" width="13.75"/>
  </cols>
  <sheetData>
    <row r="1">
      <c r="A1" s="1" t="s">
        <v>4</v>
      </c>
      <c r="B1" s="1" t="s">
        <v>18</v>
      </c>
      <c r="C1" s="1" t="s">
        <v>19</v>
      </c>
      <c r="D1" s="6" t="s">
        <v>20</v>
      </c>
      <c r="E1" s="7"/>
    </row>
    <row r="2">
      <c r="A2" s="3" t="s">
        <v>11</v>
      </c>
      <c r="B2" s="8">
        <v>44427.0</v>
      </c>
      <c r="C2" s="3">
        <v>4.0</v>
      </c>
      <c r="D2" s="9">
        <f t="array" ref="D2">XLOOKUP(A2, ticket!E:E, ticket!B:B)</f>
        <v>44427.41667</v>
      </c>
      <c r="E2" s="10"/>
    </row>
    <row r="3">
      <c r="A3" s="3" t="s">
        <v>13</v>
      </c>
      <c r="B3" s="8">
        <v>44428.0</v>
      </c>
      <c r="C3" s="3">
        <v>3.0</v>
      </c>
      <c r="D3" s="9">
        <f t="array" ref="D3">XLOOKUP(A3, ticket!E:E, ticket!B:B)</f>
        <v>44427.45833</v>
      </c>
      <c r="E3" s="10"/>
    </row>
    <row r="4">
      <c r="A4" s="3" t="s">
        <v>16</v>
      </c>
      <c r="B4" s="8">
        <v>44428.0</v>
      </c>
      <c r="C4" s="3">
        <v>5.0</v>
      </c>
      <c r="D4" s="9">
        <f t="array" ref="D4">XLOOKUP(A4, ticket!E:E, ticket!B:B)</f>
        <v>44428.375</v>
      </c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</sheetData>
  <drawing r:id="rId1"/>
</worksheet>
</file>